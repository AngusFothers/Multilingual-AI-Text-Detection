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fotheringham/Desktop/"/>
    </mc:Choice>
  </mc:AlternateContent>
  <xr:revisionPtr revIDLastSave="0" documentId="8_{CD85990B-4EAA-E94A-93B2-EED53B4B27E2}" xr6:coauthVersionLast="47" xr6:coauthVersionMax="47" xr10:uidLastSave="{00000000-0000-0000-0000-000000000000}"/>
  <bookViews>
    <workbookView xWindow="0" yWindow="760" windowWidth="30240" windowHeight="17840" xr2:uid="{67C49BA2-3638-1042-9084-4BBC6DFD3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 a="1"/>
  <c r="I26" i="1"/>
  <c r="I27" i="1"/>
  <c r="I28" i="1"/>
  <c r="I29" i="1"/>
  <c r="I25" i="1"/>
  <c r="P78" i="1"/>
  <c r="N41" i="1"/>
  <c r="Q70" i="1" s="1"/>
  <c r="M41" i="1"/>
  <c r="N38" i="1"/>
  <c r="Q67" i="1" s="1"/>
  <c r="N39" i="1"/>
  <c r="N40" i="1"/>
  <c r="Q69" i="1" s="1"/>
  <c r="N42" i="1"/>
  <c r="N45" i="1"/>
  <c r="Q76" i="1" s="1"/>
  <c r="N46" i="1"/>
  <c r="Q77" i="1" s="1"/>
  <c r="N47" i="1"/>
  <c r="Q78" i="1" s="1"/>
  <c r="N48" i="1"/>
  <c r="Q79" i="1" s="1"/>
  <c r="N49" i="1"/>
  <c r="Q80" i="1" s="1"/>
  <c r="M45" i="1"/>
  <c r="P76" i="1" s="1"/>
  <c r="M46" i="1"/>
  <c r="P77" i="1" s="1"/>
  <c r="M47" i="1"/>
  <c r="M48" i="1"/>
  <c r="P79" i="1" s="1"/>
  <c r="M49" i="1"/>
  <c r="P80" i="1" s="1"/>
  <c r="Q68" i="1"/>
  <c r="Q71" i="1"/>
  <c r="P68" i="1"/>
  <c r="P70" i="1"/>
  <c r="N37" i="1"/>
  <c r="Q66" i="1" s="1"/>
  <c r="M38" i="1"/>
  <c r="P67" i="1" s="1"/>
  <c r="M39" i="1"/>
  <c r="M40" i="1"/>
  <c r="P69" i="1" s="1"/>
  <c r="M42" i="1"/>
  <c r="P71" i="1" s="1"/>
  <c r="M37" i="1"/>
  <c r="P66" i="1" s="1"/>
  <c r="E67" i="1"/>
  <c r="D60" i="1"/>
  <c r="D61" i="1"/>
  <c r="D62" i="1"/>
  <c r="D63" i="1"/>
  <c r="D64" i="1"/>
  <c r="D67" i="1"/>
  <c r="D68" i="1"/>
  <c r="D69" i="1"/>
  <c r="D70" i="1"/>
  <c r="D71" i="1"/>
  <c r="K49" i="1"/>
  <c r="L49" i="1" s="1"/>
  <c r="K48" i="1"/>
  <c r="L48" i="1" s="1"/>
  <c r="K47" i="1"/>
  <c r="L47" i="1" s="1"/>
  <c r="K46" i="1"/>
  <c r="L46" i="1" s="1"/>
  <c r="K45" i="1"/>
  <c r="L45" i="1" s="1"/>
  <c r="L37" i="1"/>
  <c r="K38" i="1"/>
  <c r="L38" i="1" s="1"/>
  <c r="K39" i="1"/>
  <c r="L39" i="1" s="1"/>
  <c r="K40" i="1"/>
  <c r="L40" i="1" s="1"/>
  <c r="K41" i="1"/>
  <c r="L41" i="1" s="1"/>
  <c r="K42" i="1"/>
  <c r="L42" i="1" s="1"/>
  <c r="K37" i="1"/>
  <c r="K15" i="1"/>
  <c r="L15" i="1" s="1"/>
  <c r="K11" i="1"/>
  <c r="L11" i="1" s="1"/>
  <c r="K12" i="1"/>
  <c r="L12" i="1" s="1"/>
  <c r="K13" i="1"/>
  <c r="L13" i="1" s="1"/>
  <c r="K14" i="1"/>
  <c r="L14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<sst xmlns="http://schemas.openxmlformats.org/spreadsheetml/2006/main" count="166" uniqueCount="33">
  <si>
    <t>DetectGPT</t>
  </si>
  <si>
    <t xml:space="preserve">Go Winston </t>
  </si>
  <si>
    <t>GPT Zero</t>
  </si>
  <si>
    <t>GPT-2 Output Detector Demo</t>
  </si>
  <si>
    <t xml:space="preserve">Writer </t>
  </si>
  <si>
    <t>ZeroGPT</t>
  </si>
  <si>
    <t>TP</t>
  </si>
  <si>
    <t>TN</t>
  </si>
  <si>
    <t>Accuracy</t>
  </si>
  <si>
    <t>FN</t>
  </si>
  <si>
    <t>FP</t>
  </si>
  <si>
    <t>English</t>
  </si>
  <si>
    <t>Spanish</t>
  </si>
  <si>
    <t>German</t>
  </si>
  <si>
    <t>Chinese</t>
  </si>
  <si>
    <t>Arabic</t>
  </si>
  <si>
    <t>UTP</t>
  </si>
  <si>
    <t>UFN</t>
  </si>
  <si>
    <t>UFP</t>
  </si>
  <si>
    <t>UTN</t>
  </si>
  <si>
    <t>NUC</t>
  </si>
  <si>
    <t>AI-Detector</t>
  </si>
  <si>
    <t>Regular ACCURACY</t>
  </si>
  <si>
    <t>Accuracy (%)</t>
  </si>
  <si>
    <t>Language</t>
  </si>
  <si>
    <t>Accuracy(Incl)</t>
  </si>
  <si>
    <t>Lanugae</t>
  </si>
  <si>
    <t xml:space="preserve">Accuracy </t>
  </si>
  <si>
    <t>Accuracy (Incl)</t>
  </si>
  <si>
    <t>Accuracy (Mean)</t>
  </si>
  <si>
    <t>Precision</t>
  </si>
  <si>
    <t>Precision (Incl)</t>
  </si>
  <si>
    <t>FN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</si>
</sst>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rgb="FF000000"/>
      <name val="Aptos Narrow"/>
    </font>
    <font>
      <b/>
      <sz val="12"/>
      <color rgb="FF000000"/>
      <name val="Aptos Narrow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666666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1" fillId="0" borderId="1" xfId="0" applyNumberFormat="1" applyFont="1" applyBorder="1"/>
    <xf numFmtId="165" fontId="0" fillId="0" borderId="2" xfId="0" applyNumberFormat="1" applyBorder="1"/>
    <xf numFmtId="165" fontId="0" fillId="0" borderId="0" xfId="0" applyNumberFormat="1"/>
    <xf numFmtId="0" fontId="1" fillId="0" borderId="3" xfId="0" applyFont="1" applyBorder="1" applyAlignment="1">
      <alignment horizontal="center"/>
    </xf>
    <xf numFmtId="165" fontId="0" fillId="0" borderId="4" xfId="0" applyNumberFormat="1" applyBorder="1"/>
    <xf numFmtId="164" fontId="1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0" fontId="2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Comparative Accuracy of AI Detection Tools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Sheet1!$B$58</c:f>
              <c:strCache>
                <c:ptCount val="1"/>
                <c:pt idx="0">
                  <c:v>Accuracy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Sheet1!$A$59:$A$64</c:f>
              <c:strCache>
                <c:ptCount val="6"/>
                <c:pt idx="0">
                  <c:v>DetectGPT</c:v>
                </c:pt>
                <c:pt idx="1">
                  <c:v>Go Winston </c:v>
                </c:pt>
                <c:pt idx="2">
                  <c:v>GPT Zero</c:v>
                </c:pt>
                <c:pt idx="3">
                  <c:v>GPT-2 Output Detector Demo</c:v>
                </c:pt>
                <c:pt idx="4">
                  <c:v>Writer </c:v>
                </c:pt>
                <c:pt idx="5">
                  <c:v>ZeroGPT</c:v>
                </c:pt>
              </c:strCache>
            </c:strRef>
          </c:cat>
          <c:val>
            <c:numRef>
              <c:f>Sheet1!$B$59:$B$64</c:f>
              <c:numCache>
                <c:formatCode>General</c:formatCode>
                <c:ptCount val="6"/>
                <c:pt idx="0">
                  <c:v>58.333333333333336</c:v>
                </c:pt>
                <c:pt idx="1">
                  <c:v>50</c:v>
                </c:pt>
                <c:pt idx="2">
                  <c:v>63.157894736842103</c:v>
                </c:pt>
                <c:pt idx="3">
                  <c:v>55.555555555555557</c:v>
                </c:pt>
                <c:pt idx="4">
                  <c:v>46.428571428571431</c:v>
                </c:pt>
                <c:pt idx="5">
                  <c:v>59.090909090909093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F-B243-A45D-DB08739F5CA9}"/>
            </c:ext>
          </c:extLst>
        </c:ser>
        <c:ser>
          <c:idx val="1"/>
          <c:order val="1"/>
          <c:tx>
            <c:strRef>
              <c:f>Sheet1!$C$58</c:f>
              <c:strCache>
                <c:ptCount val="1"/>
                <c:pt idx="0">
                  <c:v>Accuracy (Incl)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Sheet1!$A$59:$A$64</c:f>
              <c:strCache>
                <c:ptCount val="6"/>
                <c:pt idx="0">
                  <c:v>DetectGPT</c:v>
                </c:pt>
                <c:pt idx="1">
                  <c:v>Go Winston </c:v>
                </c:pt>
                <c:pt idx="2">
                  <c:v>GPT Zero</c:v>
                </c:pt>
                <c:pt idx="3">
                  <c:v>GPT-2 Output Detector Demo</c:v>
                </c:pt>
                <c:pt idx="4">
                  <c:v>Writer </c:v>
                </c:pt>
                <c:pt idx="5">
                  <c:v>ZeroGPT</c:v>
                </c:pt>
              </c:strCache>
            </c:strRef>
          </c:cat>
          <c:val>
            <c:numRef>
              <c:f>Sheet1!$C$59:$C$64</c:f>
              <c:numCache>
                <c:formatCode>0.000</c:formatCode>
                <c:ptCount val="6"/>
                <c:pt idx="0">
                  <c:v>80</c:v>
                </c:pt>
                <c:pt idx="1">
                  <c:v>73.333333333333329</c:v>
                </c:pt>
                <c:pt idx="2">
                  <c:v>63.333333333333329</c:v>
                </c:pt>
                <c:pt idx="3">
                  <c:v>90</c:v>
                </c:pt>
                <c:pt idx="4">
                  <c:v>93.333333333333329</c:v>
                </c:pt>
                <c:pt idx="5">
                  <c:v>73.333333333333329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F-B243-A45D-DB08739F5CA9}"/>
            </c:ext>
          </c:extLst>
        </c:ser>
        <c:ser>
          <c:idx val="2"/>
          <c:order val="2"/>
          <c:tx>
            <c:strRef>
              <c:f>Sheet1!$D$58</c:f>
              <c:strCache>
                <c:ptCount val="1"/>
                <c:pt idx="0">
                  <c:v>Accuracy (Mean)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Sheet1!$A$59:$A$64</c:f>
              <c:strCache>
                <c:ptCount val="6"/>
                <c:pt idx="0">
                  <c:v>DetectGPT</c:v>
                </c:pt>
                <c:pt idx="1">
                  <c:v>Go Winston </c:v>
                </c:pt>
                <c:pt idx="2">
                  <c:v>GPT Zero</c:v>
                </c:pt>
                <c:pt idx="3">
                  <c:v>GPT-2 Output Detector Demo</c:v>
                </c:pt>
                <c:pt idx="4">
                  <c:v>Writer </c:v>
                </c:pt>
                <c:pt idx="5">
                  <c:v>ZeroGPT</c:v>
                </c:pt>
              </c:strCache>
            </c:strRef>
          </c:cat>
          <c:val>
            <c:numRef>
              <c:f>Sheet1!$D$59:$D$64</c:f>
              <c:numCache>
                <c:formatCode>0.000</c:formatCode>
                <c:ptCount val="6"/>
                <c:pt idx="0">
                  <c:v>0</c:v>
                </c:pt>
                <c:pt idx="1">
                  <c:v>61.666666666666664</c:v>
                </c:pt>
                <c:pt idx="2">
                  <c:v>63.245614035087712</c:v>
                </c:pt>
                <c:pt idx="3">
                  <c:v>72.777777777777771</c:v>
                </c:pt>
                <c:pt idx="4">
                  <c:v>69.88095238095238</c:v>
                </c:pt>
                <c:pt idx="5">
                  <c:v>66.212121212121218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DF-B243-A45D-DB08739F5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6536752"/>
        <c:axId val="1056539088"/>
      </c:barChart>
      <c:catAx>
        <c:axId val="1056536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39088"/>
        <c:crosses val="autoZero"/>
        <c:auto val="1"/>
        <c:lblAlgn val="ctr"/>
        <c:lblOffset val="100"/>
        <c:noMultiLvlLbl val="0"/>
      </c:catAx>
      <c:valAx>
        <c:axId val="105653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Accuracy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3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Comparative Accuracy of AI Detection Tools 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Against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Sheet1!$B$66</c:f>
              <c:strCache>
                <c:ptCount val="1"/>
                <c:pt idx="0">
                  <c:v>Accuracy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Sheet1!$A$67:$A$71</c:f>
              <c:strCache>
                <c:ptCount val="5"/>
                <c:pt idx="0">
                  <c:v>English</c:v>
                </c:pt>
                <c:pt idx="1">
                  <c:v>Spanish</c:v>
                </c:pt>
                <c:pt idx="2">
                  <c:v>German</c:v>
                </c:pt>
                <c:pt idx="3">
                  <c:v>Chinese</c:v>
                </c:pt>
                <c:pt idx="4">
                  <c:v>Arabic</c:v>
                </c:pt>
              </c:strCache>
            </c:strRef>
          </c:cat>
          <c:val>
            <c:numRef>
              <c:f>Sheet1!$B$67:$B$71</c:f>
              <c:numCache>
                <c:formatCode>0.000</c:formatCode>
                <c:ptCount val="5"/>
                <c:pt idx="0">
                  <c:v>61.29032258064516</c:v>
                </c:pt>
                <c:pt idx="1">
                  <c:v>58.064516129032263</c:v>
                </c:pt>
                <c:pt idx="2">
                  <c:v>56.25</c:v>
                </c:pt>
                <c:pt idx="3">
                  <c:v>50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B-CB4E-93DC-A1855622E9DA}"/>
            </c:ext>
          </c:extLst>
        </c:ser>
        <c:ser>
          <c:idx val="1"/>
          <c:order val="1"/>
          <c:tx>
            <c:strRef>
              <c:f>Sheet1!$C$66</c:f>
              <c:strCache>
                <c:ptCount val="1"/>
                <c:pt idx="0">
                  <c:v>Accuracy (Incl)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Sheet1!$A$67:$A$71</c:f>
              <c:strCache>
                <c:ptCount val="5"/>
                <c:pt idx="0">
                  <c:v>English</c:v>
                </c:pt>
                <c:pt idx="1">
                  <c:v>Spanish</c:v>
                </c:pt>
                <c:pt idx="2">
                  <c:v>German</c:v>
                </c:pt>
                <c:pt idx="3">
                  <c:v>Chinese</c:v>
                </c:pt>
                <c:pt idx="4">
                  <c:v>Arabic</c:v>
                </c:pt>
              </c:strCache>
            </c:strRef>
          </c:cat>
          <c:val>
            <c:numRef>
              <c:f>Sheet1!$C$67:$C$71</c:f>
              <c:numCache>
                <c:formatCode>0.000</c:formatCode>
                <c:ptCount val="5"/>
                <c:pt idx="0">
                  <c:v>86.111111111111114</c:v>
                </c:pt>
                <c:pt idx="1">
                  <c:v>86.111111111111114</c:v>
                </c:pt>
                <c:pt idx="2">
                  <c:v>88.888888888888886</c:v>
                </c:pt>
                <c:pt idx="3">
                  <c:v>77.777777777777786</c:v>
                </c:pt>
                <c:pt idx="4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B-CB4E-93DC-A1855622E9DA}"/>
            </c:ext>
          </c:extLst>
        </c:ser>
        <c:ser>
          <c:idx val="2"/>
          <c:order val="2"/>
          <c:tx>
            <c:strRef>
              <c:f>Sheet1!$D$66</c:f>
              <c:strCache>
                <c:ptCount val="1"/>
                <c:pt idx="0">
                  <c:v>Accuracy (Mean)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Sheet1!$A$67:$A$71</c:f>
              <c:strCache>
                <c:ptCount val="5"/>
                <c:pt idx="0">
                  <c:v>English</c:v>
                </c:pt>
                <c:pt idx="1">
                  <c:v>Spanish</c:v>
                </c:pt>
                <c:pt idx="2">
                  <c:v>German</c:v>
                </c:pt>
                <c:pt idx="3">
                  <c:v>Chinese</c:v>
                </c:pt>
                <c:pt idx="4">
                  <c:v>Arabic</c:v>
                </c:pt>
              </c:strCache>
            </c:strRef>
          </c:cat>
          <c:val>
            <c:numRef>
              <c:f>Sheet1!$D$67:$D$71</c:f>
              <c:numCache>
                <c:formatCode>0.000</c:formatCode>
                <c:ptCount val="5"/>
                <c:pt idx="0">
                  <c:v>73.700716845878134</c:v>
                </c:pt>
                <c:pt idx="1">
                  <c:v>72.087813620071685</c:v>
                </c:pt>
                <c:pt idx="2">
                  <c:v>72.569444444444443</c:v>
                </c:pt>
                <c:pt idx="3">
                  <c:v>63.888888888888893</c:v>
                </c:pt>
                <c:pt idx="4">
                  <c:v>50.277777777777779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B-CB4E-93DC-A1855622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906512"/>
        <c:axId val="1110872144"/>
      </c:barChart>
      <c:catAx>
        <c:axId val="111090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72144"/>
        <c:crosses val="autoZero"/>
        <c:auto val="1"/>
        <c:lblAlgn val="ctr"/>
        <c:lblOffset val="100"/>
        <c:noMultiLvlLbl val="0"/>
      </c:catAx>
      <c:valAx>
        <c:axId val="11108721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Comparative</a:t>
            </a:r>
            <a:r>
              <a:rPr lang="en-GB" baseline="0"/>
              <a:t> Precision of AI Detection Tools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Sheet1!$P$65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Sheet1!$O$66:$O$71</c:f>
              <c:strCache>
                <c:ptCount val="6"/>
                <c:pt idx="0">
                  <c:v>DetectGPT</c:v>
                </c:pt>
                <c:pt idx="1">
                  <c:v>Go Winston </c:v>
                </c:pt>
                <c:pt idx="2">
                  <c:v>GPT Zero</c:v>
                </c:pt>
                <c:pt idx="3">
                  <c:v>GPT-2 Output Detector Demo</c:v>
                </c:pt>
                <c:pt idx="4">
                  <c:v>Writer </c:v>
                </c:pt>
                <c:pt idx="5">
                  <c:v>ZeroGPT</c:v>
                </c:pt>
              </c:strCache>
            </c:strRef>
          </c:cat>
          <c:val>
            <c:numRef>
              <c:f>Sheet1!$P$66:$P$71</c:f>
              <c:numCache>
                <c:formatCode>0.000</c:formatCode>
                <c:ptCount val="6"/>
                <c:pt idx="0">
                  <c:v>50</c:v>
                </c:pt>
                <c:pt idx="1">
                  <c:v>47.058823529411761</c:v>
                </c:pt>
                <c:pt idx="2">
                  <c:v>80</c:v>
                </c:pt>
                <c:pt idx="3">
                  <c:v>66.666666666666657</c:v>
                </c:pt>
                <c:pt idx="4">
                  <c:v>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0-A443-8083-EDBDE1137E17}"/>
            </c:ext>
          </c:extLst>
        </c:ser>
        <c:ser>
          <c:idx val="1"/>
          <c:order val="1"/>
          <c:tx>
            <c:strRef>
              <c:f>Sheet1!$Q$65</c:f>
              <c:strCache>
                <c:ptCount val="1"/>
                <c:pt idx="0">
                  <c:v>Precision (Incl)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Sheet1!$O$66:$O$71</c:f>
              <c:strCache>
                <c:ptCount val="6"/>
                <c:pt idx="0">
                  <c:v>DetectGPT</c:v>
                </c:pt>
                <c:pt idx="1">
                  <c:v>Go Winston </c:v>
                </c:pt>
                <c:pt idx="2">
                  <c:v>GPT Zero</c:v>
                </c:pt>
                <c:pt idx="3">
                  <c:v>GPT-2 Output Detector Demo</c:v>
                </c:pt>
                <c:pt idx="4">
                  <c:v>Writer </c:v>
                </c:pt>
                <c:pt idx="5">
                  <c:v>ZeroGPT</c:v>
                </c:pt>
              </c:strCache>
            </c:strRef>
          </c:cat>
          <c:val>
            <c:numRef>
              <c:f>Sheet1!$Q$66:$Q$71</c:f>
              <c:numCache>
                <c:formatCode>0.000</c:formatCode>
                <c:ptCount val="6"/>
                <c:pt idx="0">
                  <c:v>57.142857142857139</c:v>
                </c:pt>
                <c:pt idx="1">
                  <c:v>52.380952380952387</c:v>
                </c:pt>
                <c:pt idx="2">
                  <c:v>85.714285714285708</c:v>
                </c:pt>
                <c:pt idx="3">
                  <c:v>66.666666666666657</c:v>
                </c:pt>
                <c:pt idx="4">
                  <c:v>0</c:v>
                </c:pt>
                <c:pt idx="5">
                  <c:v>58.333333333333336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0-A443-8083-EDBDE113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1573888"/>
        <c:axId val="1191567664"/>
      </c:barChart>
      <c:catAx>
        <c:axId val="119157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67664"/>
        <c:crosses val="autoZero"/>
        <c:auto val="1"/>
        <c:lblAlgn val="ctr"/>
        <c:lblOffset val="100"/>
        <c:noMultiLvlLbl val="0"/>
      </c:catAx>
      <c:valAx>
        <c:axId val="119156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7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Comparative</a:t>
            </a:r>
            <a:r>
              <a:rPr lang="en-GB" baseline="0"/>
              <a:t> Precision of AI Detection Tools Against Languages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Sheet1!$P$75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Sheet1!$O$76:$O$80</c:f>
              <c:strCache>
                <c:ptCount val="5"/>
                <c:pt idx="0">
                  <c:v>English</c:v>
                </c:pt>
                <c:pt idx="1">
                  <c:v>Spanish</c:v>
                </c:pt>
                <c:pt idx="2">
                  <c:v>German</c:v>
                </c:pt>
                <c:pt idx="3">
                  <c:v>Chinese</c:v>
                </c:pt>
                <c:pt idx="4">
                  <c:v>Arabic</c:v>
                </c:pt>
              </c:strCache>
            </c:strRef>
          </c:cat>
          <c:val>
            <c:numRef>
              <c:f>Sheet1!$P$76:$P$80</c:f>
              <c:numCache>
                <c:formatCode>0.000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62.5</c:v>
                </c:pt>
                <c:pt idx="3">
                  <c:v>50</c:v>
                </c:pt>
                <c:pt idx="4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B-0742-A901-42A9C3618973}"/>
            </c:ext>
          </c:extLst>
        </c:ser>
        <c:ser>
          <c:idx val="1"/>
          <c:order val="1"/>
          <c:tx>
            <c:strRef>
              <c:f>Sheet1!$Q$75</c:f>
              <c:strCache>
                <c:ptCount val="1"/>
                <c:pt idx="0">
                  <c:v>Precision (Incl)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Sheet1!$O$76:$O$80</c:f>
              <c:strCache>
                <c:ptCount val="5"/>
                <c:pt idx="0">
                  <c:v>English</c:v>
                </c:pt>
                <c:pt idx="1">
                  <c:v>Spanish</c:v>
                </c:pt>
                <c:pt idx="2">
                  <c:v>German</c:v>
                </c:pt>
                <c:pt idx="3">
                  <c:v>Chinese</c:v>
                </c:pt>
                <c:pt idx="4">
                  <c:v>Arabic</c:v>
                </c:pt>
              </c:strCache>
            </c:strRef>
          </c:cat>
          <c:val>
            <c:numRef>
              <c:f>Sheet1!$Q$76:$Q$80</c:f>
              <c:numCache>
                <c:formatCode>0.000</c:formatCode>
                <c:ptCount val="5"/>
                <c:pt idx="0">
                  <c:v>66.666666666666657</c:v>
                </c:pt>
                <c:pt idx="1">
                  <c:v>60</c:v>
                </c:pt>
                <c:pt idx="2">
                  <c:v>60</c:v>
                </c:pt>
                <c:pt idx="3">
                  <c:v>55.555555555555557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B-0742-A901-42A9C3618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696256"/>
        <c:axId val="1192110608"/>
      </c:barChart>
      <c:catAx>
        <c:axId val="119169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10608"/>
        <c:crosses val="autoZero"/>
        <c:auto val="1"/>
        <c:lblAlgn val="ctr"/>
        <c:lblOffset val="100"/>
        <c:noMultiLvlLbl val="0"/>
      </c:catAx>
      <c:valAx>
        <c:axId val="119211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394954</xdr:colOff>
      <xdr:row>83</xdr:row>
      <xdr:rowOff>20383</xdr:rowOff>
    </xdr:from>
    <xdr:to>
      <xdr:col>6</xdr:col>
      <xdr:colOff>109597</xdr:colOff>
      <xdr:row>104</xdr:row>
      <xdr:rowOff>20069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6BAB1-C869-D3D2-274C-2C1E52549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1538817</xdr:colOff>
      <xdr:row>101</xdr:row>
      <xdr:rowOff>158750</xdr:rowOff>
    </xdr:from>
    <xdr:to>
      <xdr:col>5</xdr:col>
      <xdr:colOff>374651</xdr:colOff>
      <xdr:row>115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3387AB-FABC-71C7-A062-C3A39716F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905933</xdr:colOff>
      <xdr:row>91</xdr:row>
      <xdr:rowOff>67732</xdr:rowOff>
    </xdr:from>
    <xdr:to>
      <xdr:col>18</xdr:col>
      <xdr:colOff>711201</xdr:colOff>
      <xdr:row>106</xdr:row>
      <xdr:rowOff>169333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6BA383-E6DD-68B4-57A0-F5BFACEA5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508000</xdr:colOff>
      <xdr:row>92</xdr:row>
      <xdr:rowOff>152400</xdr:rowOff>
    </xdr:from>
    <xdr:to>
      <xdr:col>18</xdr:col>
      <xdr:colOff>67734</xdr:colOff>
      <xdr:row>106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126CCA-7866-4DB2-D611-21049FD26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62F5-CF4A-D240-9F6B-BC9AA24AA3DD}">
  <dimension ref="A2:Q80"/>
  <sheetViews>
    <sheetView tabSelected="1" zoomScale="75" zoomScaleNormal="80" workbookViewId="0">
      <selection activeCell="D59" sqref="D59"/>
    </sheetView>
  </sheetViews>
  <sheetFormatPr baseColWidth="10" defaultRowHeight="16" x14ac:dyDescent="0.2"/>
  <cols>
    <col min="1" max="1" width="31" customWidth="1"/>
    <col min="5" max="10" width="11.6640625" customWidth="1"/>
    <col min="11" max="11" width="14.33203125" customWidth="1"/>
    <col min="12" max="12" width="12.6640625" customWidth="1"/>
    <col min="13" max="13" width="16.1640625" customWidth="1"/>
    <col min="14" max="14" width="16.6640625" customWidth="1"/>
    <col min="15" max="15" width="27.1640625" customWidth="1"/>
    <col min="17" max="17" width="16.83203125" customWidth="1"/>
  </cols>
  <sheetData>
    <row r="2" spans="1:12" x14ac:dyDescent="0.2">
      <c r="A2" s="4"/>
      <c r="B2" s="1" t="s">
        <v>6</v>
      </c>
      <c r="C2" s="1" t="s">
        <v>7</v>
      </c>
      <c r="D2" s="1" t="s">
        <v>9</v>
      </c>
      <c r="E2" s="1" t="s">
        <v>10</v>
      </c>
      <c r="F2" s="1" t="s">
        <v>18</v>
      </c>
      <c r="G2" s="1" t="s">
        <v>16</v>
      </c>
      <c r="H2" s="1" t="s">
        <v>19</v>
      </c>
      <c r="I2" s="1" t="s">
        <v>17</v>
      </c>
      <c r="J2" s="1" t="s">
        <v>20</v>
      </c>
      <c r="K2" s="1" t="s">
        <v>8</v>
      </c>
      <c r="L2" s="1" t="s">
        <v>23</v>
      </c>
    </row>
    <row r="3" spans="1:12" x14ac:dyDescent="0.2">
      <c r="A3" s="2" t="s">
        <v>0</v>
      </c>
      <c r="B3" s="4">
        <v>5</v>
      </c>
      <c r="C3" s="4">
        <v>9</v>
      </c>
      <c r="D3" s="4">
        <v>5</v>
      </c>
      <c r="E3" s="4">
        <v>5</v>
      </c>
      <c r="F3" s="4">
        <v>1</v>
      </c>
      <c r="G3" s="4">
        <v>3</v>
      </c>
      <c r="H3" s="4">
        <v>0</v>
      </c>
      <c r="I3" s="4">
        <v>2</v>
      </c>
      <c r="J3" s="4">
        <v>0</v>
      </c>
      <c r="K3" s="6">
        <f>(B3+C3)/(SUM(B3,C3,D3,E3))</f>
        <v>0.58333333333333337</v>
      </c>
      <c r="L3" s="6">
        <f>K3*100</f>
        <v>58.333333333333336</v>
      </c>
    </row>
    <row r="4" spans="1:12" x14ac:dyDescent="0.2">
      <c r="A4" s="2" t="s">
        <v>1</v>
      </c>
      <c r="B4" s="4">
        <v>8</v>
      </c>
      <c r="C4" s="4">
        <v>3</v>
      </c>
      <c r="D4" s="4">
        <v>2</v>
      </c>
      <c r="E4" s="4">
        <v>9</v>
      </c>
      <c r="F4" s="4">
        <v>1</v>
      </c>
      <c r="G4" s="4">
        <v>3</v>
      </c>
      <c r="H4" s="4">
        <v>0</v>
      </c>
      <c r="I4" s="4">
        <v>0</v>
      </c>
      <c r="J4" s="4">
        <v>4</v>
      </c>
      <c r="K4" s="6">
        <f t="shared" ref="K4:K15" si="0">(B4+C4)/(SUM(B4,C4,D4,E4))</f>
        <v>0.5</v>
      </c>
      <c r="L4" s="6">
        <f t="shared" ref="L4:L15" si="1">K4*100</f>
        <v>50</v>
      </c>
    </row>
    <row r="5" spans="1:12" x14ac:dyDescent="0.2">
      <c r="A5" s="2" t="s">
        <v>2</v>
      </c>
      <c r="B5" s="4">
        <v>4</v>
      </c>
      <c r="C5" s="4">
        <v>8</v>
      </c>
      <c r="D5" s="4">
        <v>6</v>
      </c>
      <c r="E5" s="4">
        <v>1</v>
      </c>
      <c r="F5" s="4">
        <v>0</v>
      </c>
      <c r="G5" s="4">
        <v>2</v>
      </c>
      <c r="H5" s="4">
        <v>3</v>
      </c>
      <c r="I5" s="4">
        <v>2</v>
      </c>
      <c r="J5" s="4">
        <v>4</v>
      </c>
      <c r="K5" s="6">
        <f t="shared" si="0"/>
        <v>0.63157894736842102</v>
      </c>
      <c r="L5" s="6">
        <f t="shared" si="1"/>
        <v>63.157894736842103</v>
      </c>
    </row>
    <row r="6" spans="1:12" x14ac:dyDescent="0.2">
      <c r="A6" s="2" t="s">
        <v>3</v>
      </c>
      <c r="B6" s="4">
        <v>2</v>
      </c>
      <c r="C6" s="4">
        <v>13</v>
      </c>
      <c r="D6" s="4">
        <v>11</v>
      </c>
      <c r="E6" s="4">
        <v>1</v>
      </c>
      <c r="F6" s="4">
        <v>0</v>
      </c>
      <c r="G6" s="4">
        <v>0</v>
      </c>
      <c r="H6" s="4">
        <v>1</v>
      </c>
      <c r="I6" s="4">
        <v>1</v>
      </c>
      <c r="J6" s="4">
        <v>1</v>
      </c>
      <c r="K6" s="6">
        <f t="shared" si="0"/>
        <v>0.55555555555555558</v>
      </c>
      <c r="L6" s="6">
        <f t="shared" si="1"/>
        <v>55.555555555555557</v>
      </c>
    </row>
    <row r="7" spans="1:12" x14ac:dyDescent="0.2">
      <c r="A7" s="2" t="s">
        <v>4</v>
      </c>
      <c r="B7" s="4">
        <v>0</v>
      </c>
      <c r="C7" s="4">
        <v>13</v>
      </c>
      <c r="D7" s="4">
        <v>14</v>
      </c>
      <c r="E7" s="4">
        <v>1</v>
      </c>
      <c r="F7" s="4">
        <v>0</v>
      </c>
      <c r="G7" s="4">
        <v>0</v>
      </c>
      <c r="H7" s="4">
        <v>1</v>
      </c>
      <c r="I7" s="4">
        <v>1</v>
      </c>
      <c r="J7" s="4">
        <v>0</v>
      </c>
      <c r="K7" s="6">
        <f t="shared" si="0"/>
        <v>0.4642857142857143</v>
      </c>
      <c r="L7" s="6">
        <f t="shared" si="1"/>
        <v>46.428571428571431</v>
      </c>
    </row>
    <row r="8" spans="1:12" x14ac:dyDescent="0.2">
      <c r="A8" s="2" t="s">
        <v>5</v>
      </c>
      <c r="B8" s="4">
        <v>12</v>
      </c>
      <c r="C8" s="4">
        <v>1</v>
      </c>
      <c r="D8" s="4">
        <v>1</v>
      </c>
      <c r="E8" s="4">
        <v>8</v>
      </c>
      <c r="F8" s="4">
        <v>2</v>
      </c>
      <c r="G8" s="4">
        <v>2</v>
      </c>
      <c r="H8" s="4">
        <v>1</v>
      </c>
      <c r="I8" s="4">
        <v>0</v>
      </c>
      <c r="J8" s="4">
        <v>3</v>
      </c>
      <c r="K8" s="6">
        <f t="shared" si="0"/>
        <v>0.59090909090909094</v>
      </c>
      <c r="L8" s="6">
        <f t="shared" si="1"/>
        <v>59.090909090909093</v>
      </c>
    </row>
    <row r="9" spans="1:12" x14ac:dyDescent="0.2">
      <c r="K9" s="8"/>
    </row>
    <row r="10" spans="1:12" x14ac:dyDescent="0.2">
      <c r="A10" s="4"/>
      <c r="B10" s="1" t="s">
        <v>6</v>
      </c>
      <c r="C10" s="1" t="s">
        <v>7</v>
      </c>
      <c r="D10" s="1" t="s">
        <v>9</v>
      </c>
      <c r="E10" s="1" t="s">
        <v>10</v>
      </c>
      <c r="F10" s="1" t="s">
        <v>18</v>
      </c>
      <c r="G10" s="1" t="s">
        <v>16</v>
      </c>
      <c r="H10" s="1" t="s">
        <v>19</v>
      </c>
      <c r="I10" s="1" t="s">
        <v>17</v>
      </c>
      <c r="J10" s="1" t="s">
        <v>20</v>
      </c>
      <c r="K10" s="7" t="s">
        <v>8</v>
      </c>
      <c r="L10" s="1" t="s">
        <v>23</v>
      </c>
    </row>
    <row r="11" spans="1:12" x14ac:dyDescent="0.2">
      <c r="A11" s="2" t="s">
        <v>11</v>
      </c>
      <c r="B11" s="4">
        <v>9</v>
      </c>
      <c r="C11" s="4">
        <v>10</v>
      </c>
      <c r="D11" s="4">
        <v>6</v>
      </c>
      <c r="E11" s="4">
        <v>6</v>
      </c>
      <c r="F11" s="4">
        <v>0</v>
      </c>
      <c r="G11" s="4">
        <v>3</v>
      </c>
      <c r="H11" s="4">
        <v>0</v>
      </c>
      <c r="I11" s="4">
        <v>0</v>
      </c>
      <c r="J11" s="4">
        <v>2</v>
      </c>
      <c r="K11" s="6">
        <f t="shared" si="0"/>
        <v>0.61290322580645162</v>
      </c>
      <c r="L11" s="6">
        <f t="shared" si="1"/>
        <v>61.29032258064516</v>
      </c>
    </row>
    <row r="12" spans="1:12" x14ac:dyDescent="0.2">
      <c r="A12" s="2" t="s">
        <v>12</v>
      </c>
      <c r="B12" s="4">
        <v>6</v>
      </c>
      <c r="C12" s="4">
        <v>12</v>
      </c>
      <c r="D12" s="4">
        <v>9</v>
      </c>
      <c r="E12" s="4">
        <v>4</v>
      </c>
      <c r="F12" s="4">
        <v>0</v>
      </c>
      <c r="G12" s="4">
        <v>0</v>
      </c>
      <c r="H12" s="4">
        <v>2</v>
      </c>
      <c r="I12" s="4">
        <v>1</v>
      </c>
      <c r="J12" s="4">
        <v>2</v>
      </c>
      <c r="K12" s="6">
        <f t="shared" si="0"/>
        <v>0.58064516129032262</v>
      </c>
      <c r="L12" s="6">
        <f t="shared" si="1"/>
        <v>58.064516129032263</v>
      </c>
    </row>
    <row r="13" spans="1:12" x14ac:dyDescent="0.2">
      <c r="A13" s="2" t="s">
        <v>13</v>
      </c>
      <c r="B13" s="4">
        <v>5</v>
      </c>
      <c r="C13" s="4">
        <v>13</v>
      </c>
      <c r="D13" s="4">
        <v>11</v>
      </c>
      <c r="E13" s="4">
        <v>3</v>
      </c>
      <c r="F13" s="4">
        <v>1</v>
      </c>
      <c r="G13" s="4">
        <v>1</v>
      </c>
      <c r="H13" s="4">
        <v>0</v>
      </c>
      <c r="I13" s="4">
        <v>1</v>
      </c>
      <c r="J13" s="4">
        <v>1</v>
      </c>
      <c r="K13" s="6">
        <f t="shared" si="0"/>
        <v>0.5625</v>
      </c>
      <c r="L13" s="6">
        <f t="shared" si="1"/>
        <v>56.25</v>
      </c>
    </row>
    <row r="14" spans="1:12" x14ac:dyDescent="0.2">
      <c r="A14" s="2" t="s">
        <v>14</v>
      </c>
      <c r="B14" s="4">
        <v>7</v>
      </c>
      <c r="C14" s="4">
        <v>7</v>
      </c>
      <c r="D14" s="4">
        <v>7</v>
      </c>
      <c r="E14" s="4">
        <v>7</v>
      </c>
      <c r="F14" s="4">
        <v>1</v>
      </c>
      <c r="G14" s="4">
        <v>3</v>
      </c>
      <c r="H14" s="4">
        <v>1</v>
      </c>
      <c r="I14" s="4">
        <v>1</v>
      </c>
      <c r="J14" s="4">
        <v>2</v>
      </c>
      <c r="K14" s="6">
        <f t="shared" si="0"/>
        <v>0.5</v>
      </c>
      <c r="L14" s="6">
        <f t="shared" si="1"/>
        <v>50</v>
      </c>
    </row>
    <row r="15" spans="1:12" x14ac:dyDescent="0.2">
      <c r="A15" s="2" t="s">
        <v>15</v>
      </c>
      <c r="B15" s="4">
        <v>4</v>
      </c>
      <c r="C15" s="4">
        <v>5</v>
      </c>
      <c r="D15" s="4">
        <v>6</v>
      </c>
      <c r="E15" s="4">
        <v>5</v>
      </c>
      <c r="F15" s="4">
        <v>2</v>
      </c>
      <c r="G15" s="4">
        <v>3</v>
      </c>
      <c r="H15" s="4">
        <v>3</v>
      </c>
      <c r="I15" s="4">
        <v>3</v>
      </c>
      <c r="J15" s="4">
        <v>5</v>
      </c>
      <c r="K15" s="6">
        <f t="shared" si="0"/>
        <v>0.45</v>
      </c>
      <c r="L15" s="6">
        <f t="shared" si="1"/>
        <v>45</v>
      </c>
    </row>
    <row r="16" spans="1:12" x14ac:dyDescent="0.2">
      <c r="A16" s="3"/>
    </row>
    <row r="17" spans="1:9" x14ac:dyDescent="0.2">
      <c r="A17" s="18" t="s">
        <v>22</v>
      </c>
      <c r="B17" s="18"/>
      <c r="D17" s="1" t="s">
        <v>21</v>
      </c>
      <c r="E17" s="1" t="s">
        <v>23</v>
      </c>
    </row>
    <row r="18" spans="1:9" x14ac:dyDescent="0.2">
      <c r="A18" s="2" t="s">
        <v>21</v>
      </c>
      <c r="B18" s="1" t="s">
        <v>23</v>
      </c>
      <c r="D18" s="2" t="s">
        <v>0</v>
      </c>
      <c r="E18" s="6">
        <v>80</v>
      </c>
    </row>
    <row r="19" spans="1:9" x14ac:dyDescent="0.2">
      <c r="A19" s="2" t="s">
        <v>0</v>
      </c>
      <c r="B19" s="4">
        <v>58.333333333333336</v>
      </c>
      <c r="D19" s="2" t="s">
        <v>1</v>
      </c>
      <c r="E19" s="6">
        <v>73.333333333333329</v>
      </c>
    </row>
    <row r="20" spans="1:9" x14ac:dyDescent="0.2">
      <c r="A20" s="2" t="s">
        <v>1</v>
      </c>
      <c r="B20" s="4">
        <v>50</v>
      </c>
      <c r="D20" s="2" t="s">
        <v>2</v>
      </c>
      <c r="E20" s="6">
        <v>63.333333333333329</v>
      </c>
    </row>
    <row r="21" spans="1:9" x14ac:dyDescent="0.2">
      <c r="A21" s="2" t="s">
        <v>2</v>
      </c>
      <c r="B21" s="4">
        <v>63.157894736842103</v>
      </c>
      <c r="D21" s="2" t="s">
        <v>3</v>
      </c>
      <c r="E21" s="6">
        <v>90</v>
      </c>
    </row>
    <row r="22" spans="1:9" x14ac:dyDescent="0.2">
      <c r="A22" s="2" t="s">
        <v>3</v>
      </c>
      <c r="B22" s="4">
        <v>55.555555555555557</v>
      </c>
      <c r="D22" s="2" t="s">
        <v>4</v>
      </c>
      <c r="E22" s="6">
        <v>93.333333333333329</v>
      </c>
    </row>
    <row r="23" spans="1:9" x14ac:dyDescent="0.2">
      <c r="A23" s="2" t="s">
        <v>4</v>
      </c>
      <c r="B23" s="4">
        <v>46.428571428571431</v>
      </c>
      <c r="D23" s="2" t="s">
        <v>5</v>
      </c>
      <c r="E23" s="6">
        <v>73.333333333333329</v>
      </c>
    </row>
    <row r="24" spans="1:9" ht="18" thickBot="1" x14ac:dyDescent="0.25">
      <c r="A24" s="2" t="s">
        <v>5</v>
      </c>
      <c r="B24" s="4">
        <v>59.090909090909093</v>
      </c>
      <c r="D24" s="4"/>
      <c r="E24" s="6"/>
      <c r="G24" s="14"/>
      <c r="H24" s="1" t="s">
        <v>10</v>
      </c>
      <c r="I24" s="15" t="s">
        <v>32</v>
      </c>
    </row>
    <row r="25" spans="1:9" ht="17" thickBot="1" x14ac:dyDescent="0.25">
      <c r="A25" s="2"/>
      <c r="B25" s="4"/>
      <c r="D25" s="1" t="s">
        <v>26</v>
      </c>
      <c r="E25" s="7" t="s">
        <v>23</v>
      </c>
      <c r="G25" s="16" t="s">
        <v>11</v>
      </c>
      <c r="H25" s="4">
        <v>6</v>
      </c>
      <c r="I25" s="17">
        <f>H25/36*100</f>
        <v>16.666666666666664</v>
      </c>
    </row>
    <row r="26" spans="1:9" ht="17" thickBot="1" x14ac:dyDescent="0.25">
      <c r="A26" s="2" t="s">
        <v>24</v>
      </c>
      <c r="B26" s="2" t="s">
        <v>23</v>
      </c>
      <c r="D26" s="2" t="s">
        <v>11</v>
      </c>
      <c r="E26" s="6">
        <v>86.111111111111114</v>
      </c>
      <c r="G26" s="16" t="s">
        <v>12</v>
      </c>
      <c r="H26" s="4">
        <v>4</v>
      </c>
      <c r="I26" s="17">
        <f t="shared" ref="I26:I29" si="2">H26/36*100</f>
        <v>11.111111111111111</v>
      </c>
    </row>
    <row r="27" spans="1:9" ht="17" thickBot="1" x14ac:dyDescent="0.25">
      <c r="A27" s="2" t="s">
        <v>11</v>
      </c>
      <c r="B27" s="6">
        <v>61.29032258064516</v>
      </c>
      <c r="D27" s="2" t="s">
        <v>12</v>
      </c>
      <c r="E27" s="6">
        <v>86.111111111111114</v>
      </c>
      <c r="G27" s="16" t="s">
        <v>13</v>
      </c>
      <c r="H27" s="4">
        <v>3</v>
      </c>
      <c r="I27" s="17">
        <f t="shared" si="2"/>
        <v>8.3333333333333321</v>
      </c>
    </row>
    <row r="28" spans="1:9" ht="17" thickBot="1" x14ac:dyDescent="0.25">
      <c r="A28" s="2" t="s">
        <v>12</v>
      </c>
      <c r="B28" s="6">
        <v>58.064516129032263</v>
      </c>
      <c r="D28" s="2" t="s">
        <v>13</v>
      </c>
      <c r="E28" s="6">
        <v>88.888888888888886</v>
      </c>
      <c r="G28" s="16" t="s">
        <v>14</v>
      </c>
      <c r="H28" s="4">
        <v>7</v>
      </c>
      <c r="I28" s="17">
        <f t="shared" si="2"/>
        <v>19.444444444444446</v>
      </c>
    </row>
    <row r="29" spans="1:9" ht="17" thickBot="1" x14ac:dyDescent="0.25">
      <c r="A29" s="2" t="s">
        <v>13</v>
      </c>
      <c r="B29" s="6">
        <v>56.25</v>
      </c>
      <c r="D29" s="2" t="s">
        <v>14</v>
      </c>
      <c r="E29" s="6">
        <v>77.777777777777786</v>
      </c>
      <c r="G29" s="16" t="s">
        <v>15</v>
      </c>
      <c r="H29" s="4">
        <v>5</v>
      </c>
      <c r="I29" s="17">
        <f t="shared" si="2"/>
        <v>13.888888888888889</v>
      </c>
    </row>
    <row r="30" spans="1:9" x14ac:dyDescent="0.2">
      <c r="A30" s="2" t="s">
        <v>14</v>
      </c>
      <c r="B30" s="6">
        <v>50</v>
      </c>
      <c r="D30" s="2" t="s">
        <v>15</v>
      </c>
      <c r="E30" s="6">
        <v>55.555555555555557</v>
      </c>
    </row>
    <row r="31" spans="1:9" x14ac:dyDescent="0.2">
      <c r="A31" s="2" t="s">
        <v>15</v>
      </c>
      <c r="B31" s="6">
        <v>45</v>
      </c>
    </row>
    <row r="36" spans="1:14" x14ac:dyDescent="0.2">
      <c r="A36" s="4"/>
      <c r="B36" s="1" t="s">
        <v>6</v>
      </c>
      <c r="C36" s="1" t="s">
        <v>7</v>
      </c>
      <c r="D36" s="1" t="s">
        <v>9</v>
      </c>
      <c r="E36" s="1" t="s">
        <v>10</v>
      </c>
      <c r="F36" s="1" t="s">
        <v>18</v>
      </c>
      <c r="G36" s="1" t="s">
        <v>16</v>
      </c>
      <c r="H36" s="1" t="s">
        <v>19</v>
      </c>
      <c r="I36" s="1" t="s">
        <v>17</v>
      </c>
      <c r="J36" s="1" t="s">
        <v>20</v>
      </c>
      <c r="K36" s="1" t="s">
        <v>25</v>
      </c>
      <c r="L36" s="1" t="s">
        <v>23</v>
      </c>
      <c r="M36" s="1" t="s">
        <v>30</v>
      </c>
      <c r="N36" s="1" t="s">
        <v>31</v>
      </c>
    </row>
    <row r="37" spans="1:14" x14ac:dyDescent="0.2">
      <c r="A37" s="2" t="s">
        <v>0</v>
      </c>
      <c r="B37" s="4">
        <v>5</v>
      </c>
      <c r="C37" s="4">
        <v>9</v>
      </c>
      <c r="D37" s="4">
        <v>5</v>
      </c>
      <c r="E37" s="4">
        <v>5</v>
      </c>
      <c r="F37" s="4">
        <v>1</v>
      </c>
      <c r="G37" s="4">
        <v>3</v>
      </c>
      <c r="H37" s="4">
        <v>0</v>
      </c>
      <c r="I37" s="4">
        <v>2</v>
      </c>
      <c r="J37" s="4">
        <v>0</v>
      </c>
      <c r="K37" s="6">
        <f>(SUM(B37:E37))/(SUM(B37:J37))</f>
        <v>0.8</v>
      </c>
      <c r="L37" s="6">
        <f>K37*100</f>
        <v>80</v>
      </c>
      <c r="M37" s="6">
        <f>B37/(E37+B37)</f>
        <v>0.5</v>
      </c>
      <c r="N37" s="5">
        <f>(B37+G37)/(SUM(E37:F37,B37,G37))</f>
        <v>0.5714285714285714</v>
      </c>
    </row>
    <row r="38" spans="1:14" x14ac:dyDescent="0.2">
      <c r="A38" s="2" t="s">
        <v>1</v>
      </c>
      <c r="B38" s="4">
        <v>8</v>
      </c>
      <c r="C38" s="4">
        <v>3</v>
      </c>
      <c r="D38" s="4">
        <v>2</v>
      </c>
      <c r="E38" s="4">
        <v>9</v>
      </c>
      <c r="F38" s="4">
        <v>1</v>
      </c>
      <c r="G38" s="4">
        <v>3</v>
      </c>
      <c r="H38" s="4">
        <v>0</v>
      </c>
      <c r="I38" s="4">
        <v>0</v>
      </c>
      <c r="J38" s="4">
        <v>4</v>
      </c>
      <c r="K38" s="6">
        <f t="shared" ref="K38:K42" si="3">(SUM(B38:E38))/(SUM(B38:J38))</f>
        <v>0.73333333333333328</v>
      </c>
      <c r="L38" s="6">
        <f t="shared" ref="L38:L42" si="4">K38*100</f>
        <v>73.333333333333329</v>
      </c>
      <c r="M38" s="6">
        <f t="shared" ref="M38:M49" si="5">B38/(E38+B38)</f>
        <v>0.47058823529411764</v>
      </c>
      <c r="N38" s="5">
        <f t="shared" ref="N38:N49" si="6">(B38+G38)/(SUM(E38:F38,B38,G38))</f>
        <v>0.52380952380952384</v>
      </c>
    </row>
    <row r="39" spans="1:14" x14ac:dyDescent="0.2">
      <c r="A39" s="2" t="s">
        <v>2</v>
      </c>
      <c r="B39" s="4">
        <v>4</v>
      </c>
      <c r="C39" s="4">
        <v>8</v>
      </c>
      <c r="D39" s="4">
        <v>6</v>
      </c>
      <c r="E39" s="4">
        <v>1</v>
      </c>
      <c r="F39" s="4">
        <v>0</v>
      </c>
      <c r="G39" s="4">
        <v>2</v>
      </c>
      <c r="H39" s="4">
        <v>3</v>
      </c>
      <c r="I39" s="4">
        <v>2</v>
      </c>
      <c r="J39" s="4">
        <v>4</v>
      </c>
      <c r="K39" s="6">
        <f t="shared" si="3"/>
        <v>0.6333333333333333</v>
      </c>
      <c r="L39" s="6">
        <f t="shared" si="4"/>
        <v>63.333333333333329</v>
      </c>
      <c r="M39" s="6">
        <f t="shared" si="5"/>
        <v>0.8</v>
      </c>
      <c r="N39" s="5">
        <f t="shared" si="6"/>
        <v>0.8571428571428571</v>
      </c>
    </row>
    <row r="40" spans="1:14" x14ac:dyDescent="0.2">
      <c r="A40" s="2" t="s">
        <v>3</v>
      </c>
      <c r="B40" s="4">
        <v>2</v>
      </c>
      <c r="C40" s="4">
        <v>13</v>
      </c>
      <c r="D40" s="4">
        <v>11</v>
      </c>
      <c r="E40" s="4">
        <v>1</v>
      </c>
      <c r="F40" s="4">
        <v>0</v>
      </c>
      <c r="G40" s="4">
        <v>0</v>
      </c>
      <c r="H40" s="4">
        <v>1</v>
      </c>
      <c r="I40" s="4">
        <v>1</v>
      </c>
      <c r="J40" s="4">
        <v>1</v>
      </c>
      <c r="K40" s="6">
        <f t="shared" si="3"/>
        <v>0.9</v>
      </c>
      <c r="L40" s="6">
        <f t="shared" si="4"/>
        <v>90</v>
      </c>
      <c r="M40" s="6">
        <f t="shared" si="5"/>
        <v>0.66666666666666663</v>
      </c>
      <c r="N40" s="5">
        <f t="shared" si="6"/>
        <v>0.66666666666666663</v>
      </c>
    </row>
    <row r="41" spans="1:14" x14ac:dyDescent="0.2">
      <c r="A41" s="2" t="s">
        <v>4</v>
      </c>
      <c r="B41" s="4">
        <v>0</v>
      </c>
      <c r="C41" s="4">
        <v>13</v>
      </c>
      <c r="D41" s="4">
        <v>14</v>
      </c>
      <c r="E41" s="4">
        <v>1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6">
        <f t="shared" si="3"/>
        <v>0.93333333333333335</v>
      </c>
      <c r="L41" s="6">
        <f t="shared" si="4"/>
        <v>93.333333333333329</v>
      </c>
      <c r="M41" s="6">
        <f>B41/(E41+B41)</f>
        <v>0</v>
      </c>
      <c r="N41" s="5">
        <f>(B41+G41)/(SUM(E41:F41,B41,G41))</f>
        <v>0</v>
      </c>
    </row>
    <row r="42" spans="1:14" x14ac:dyDescent="0.2">
      <c r="A42" s="2" t="s">
        <v>5</v>
      </c>
      <c r="B42" s="4">
        <v>12</v>
      </c>
      <c r="C42" s="4">
        <v>1</v>
      </c>
      <c r="D42" s="4">
        <v>1</v>
      </c>
      <c r="E42" s="4">
        <v>8</v>
      </c>
      <c r="F42" s="4">
        <v>2</v>
      </c>
      <c r="G42" s="4">
        <v>2</v>
      </c>
      <c r="H42" s="4">
        <v>1</v>
      </c>
      <c r="I42" s="4">
        <v>0</v>
      </c>
      <c r="J42" s="4">
        <v>3</v>
      </c>
      <c r="K42" s="6">
        <f t="shared" si="3"/>
        <v>0.73333333333333328</v>
      </c>
      <c r="L42" s="6">
        <f t="shared" si="4"/>
        <v>73.333333333333329</v>
      </c>
      <c r="M42" s="6">
        <f t="shared" si="5"/>
        <v>0.6</v>
      </c>
      <c r="N42" s="5">
        <f t="shared" si="6"/>
        <v>0.58333333333333337</v>
      </c>
    </row>
    <row r="43" spans="1:14" x14ac:dyDescent="0.2">
      <c r="K43" s="8"/>
      <c r="M43" s="6"/>
      <c r="N43" s="5"/>
    </row>
    <row r="44" spans="1:14" x14ac:dyDescent="0.2">
      <c r="A44" s="4"/>
      <c r="B44" s="1" t="s">
        <v>6</v>
      </c>
      <c r="C44" s="1" t="s">
        <v>7</v>
      </c>
      <c r="D44" s="1" t="s">
        <v>9</v>
      </c>
      <c r="E44" s="1" t="s">
        <v>10</v>
      </c>
      <c r="F44" s="1" t="s">
        <v>18</v>
      </c>
      <c r="G44" s="1" t="s">
        <v>16</v>
      </c>
      <c r="H44" s="1" t="s">
        <v>19</v>
      </c>
      <c r="I44" s="1" t="s">
        <v>17</v>
      </c>
      <c r="J44" s="1" t="s">
        <v>20</v>
      </c>
      <c r="K44" s="1" t="s">
        <v>25</v>
      </c>
      <c r="L44" s="1" t="s">
        <v>23</v>
      </c>
      <c r="M44" s="7" t="s">
        <v>30</v>
      </c>
      <c r="N44" s="12" t="s">
        <v>31</v>
      </c>
    </row>
    <row r="45" spans="1:14" x14ac:dyDescent="0.2">
      <c r="A45" s="2" t="s">
        <v>11</v>
      </c>
      <c r="B45" s="4">
        <v>9</v>
      </c>
      <c r="C45" s="4">
        <v>10</v>
      </c>
      <c r="D45" s="4">
        <v>6</v>
      </c>
      <c r="E45" s="4">
        <v>6</v>
      </c>
      <c r="F45" s="4">
        <v>0</v>
      </c>
      <c r="G45" s="4">
        <v>3</v>
      </c>
      <c r="H45" s="4">
        <v>0</v>
      </c>
      <c r="I45" s="4">
        <v>0</v>
      </c>
      <c r="J45" s="4">
        <v>2</v>
      </c>
      <c r="K45" s="6">
        <f>(SUM(B45:E45))/(SUM(B45:J45))</f>
        <v>0.86111111111111116</v>
      </c>
      <c r="L45" s="6">
        <f>K45*100</f>
        <v>86.111111111111114</v>
      </c>
      <c r="M45" s="6">
        <f t="shared" si="5"/>
        <v>0.6</v>
      </c>
      <c r="N45" s="5">
        <f t="shared" si="6"/>
        <v>0.66666666666666663</v>
      </c>
    </row>
    <row r="46" spans="1:14" x14ac:dyDescent="0.2">
      <c r="A46" s="2" t="s">
        <v>12</v>
      </c>
      <c r="B46" s="4">
        <v>6</v>
      </c>
      <c r="C46" s="4">
        <v>12</v>
      </c>
      <c r="D46" s="4">
        <v>9</v>
      </c>
      <c r="E46" s="4">
        <v>4</v>
      </c>
      <c r="F46" s="4">
        <v>0</v>
      </c>
      <c r="G46" s="4">
        <v>0</v>
      </c>
      <c r="H46" s="4">
        <v>2</v>
      </c>
      <c r="I46" s="4">
        <v>1</v>
      </c>
      <c r="J46" s="4">
        <v>2</v>
      </c>
      <c r="K46" s="6">
        <f t="shared" ref="K46:K49" si="7">(SUM(B46:E46))/(SUM(B46:J46))</f>
        <v>0.86111111111111116</v>
      </c>
      <c r="L46" s="6">
        <f t="shared" ref="L46:L49" si="8">K46*100</f>
        <v>86.111111111111114</v>
      </c>
      <c r="M46" s="6">
        <f t="shared" si="5"/>
        <v>0.6</v>
      </c>
      <c r="N46" s="5">
        <f t="shared" si="6"/>
        <v>0.6</v>
      </c>
    </row>
    <row r="47" spans="1:14" x14ac:dyDescent="0.2">
      <c r="A47" s="2" t="s">
        <v>13</v>
      </c>
      <c r="B47" s="4">
        <v>5</v>
      </c>
      <c r="C47" s="4">
        <v>13</v>
      </c>
      <c r="D47" s="4">
        <v>11</v>
      </c>
      <c r="E47" s="4">
        <v>3</v>
      </c>
      <c r="F47" s="4">
        <v>1</v>
      </c>
      <c r="G47" s="4">
        <v>1</v>
      </c>
      <c r="H47" s="4">
        <v>0</v>
      </c>
      <c r="I47" s="4">
        <v>1</v>
      </c>
      <c r="J47" s="4">
        <v>1</v>
      </c>
      <c r="K47" s="6">
        <f t="shared" si="7"/>
        <v>0.88888888888888884</v>
      </c>
      <c r="L47" s="6">
        <f t="shared" si="8"/>
        <v>88.888888888888886</v>
      </c>
      <c r="M47" s="6">
        <f t="shared" si="5"/>
        <v>0.625</v>
      </c>
      <c r="N47" s="5">
        <f t="shared" si="6"/>
        <v>0.6</v>
      </c>
    </row>
    <row r="48" spans="1:14" x14ac:dyDescent="0.2">
      <c r="A48" s="2" t="s">
        <v>14</v>
      </c>
      <c r="B48" s="4">
        <v>7</v>
      </c>
      <c r="C48" s="4">
        <v>7</v>
      </c>
      <c r="D48" s="4">
        <v>7</v>
      </c>
      <c r="E48" s="4">
        <v>7</v>
      </c>
      <c r="F48" s="4">
        <v>1</v>
      </c>
      <c r="G48" s="4">
        <v>3</v>
      </c>
      <c r="H48" s="4">
        <v>1</v>
      </c>
      <c r="I48" s="4">
        <v>1</v>
      </c>
      <c r="J48" s="4">
        <v>2</v>
      </c>
      <c r="K48" s="6">
        <f t="shared" si="7"/>
        <v>0.77777777777777779</v>
      </c>
      <c r="L48" s="6">
        <f t="shared" si="8"/>
        <v>77.777777777777786</v>
      </c>
      <c r="M48" s="6">
        <f t="shared" si="5"/>
        <v>0.5</v>
      </c>
      <c r="N48" s="5">
        <f t="shared" si="6"/>
        <v>0.55555555555555558</v>
      </c>
    </row>
    <row r="49" spans="1:14" x14ac:dyDescent="0.2">
      <c r="A49" s="2" t="s">
        <v>15</v>
      </c>
      <c r="B49" s="4">
        <v>4</v>
      </c>
      <c r="C49" s="4">
        <v>5</v>
      </c>
      <c r="D49" s="4">
        <v>6</v>
      </c>
      <c r="E49" s="4">
        <v>5</v>
      </c>
      <c r="F49" s="4">
        <v>2</v>
      </c>
      <c r="G49" s="4">
        <v>3</v>
      </c>
      <c r="H49" s="4">
        <v>3</v>
      </c>
      <c r="I49" s="4">
        <v>3</v>
      </c>
      <c r="J49" s="4">
        <v>5</v>
      </c>
      <c r="K49" s="6">
        <f t="shared" si="7"/>
        <v>0.55555555555555558</v>
      </c>
      <c r="L49" s="6">
        <f t="shared" si="8"/>
        <v>55.555555555555557</v>
      </c>
      <c r="M49" s="6">
        <f t="shared" si="5"/>
        <v>0.44444444444444442</v>
      </c>
      <c r="N49" s="5">
        <f t="shared" si="6"/>
        <v>0.5</v>
      </c>
    </row>
    <row r="53" spans="1:14" x14ac:dyDescent="0.2">
      <c r="H53" s="3"/>
    </row>
    <row r="54" spans="1:14" x14ac:dyDescent="0.2">
      <c r="H54" s="3"/>
    </row>
    <row r="55" spans="1:14" x14ac:dyDescent="0.2">
      <c r="H55" s="3"/>
      <c r="L55" s="2"/>
      <c r="M55" s="4"/>
      <c r="N55" s="4"/>
    </row>
    <row r="56" spans="1:14" x14ac:dyDescent="0.2">
      <c r="H56" s="3"/>
      <c r="L56" s="2"/>
      <c r="M56" s="4"/>
      <c r="N56" s="4"/>
    </row>
    <row r="57" spans="1:14" x14ac:dyDescent="0.2">
      <c r="A57" s="18" t="s">
        <v>22</v>
      </c>
      <c r="B57" s="18"/>
      <c r="H57" s="3"/>
      <c r="L57" s="2"/>
      <c r="M57" s="4"/>
      <c r="N57" s="4"/>
    </row>
    <row r="58" spans="1:14" x14ac:dyDescent="0.2">
      <c r="A58" s="2" t="s">
        <v>21</v>
      </c>
      <c r="B58" s="1" t="s">
        <v>27</v>
      </c>
      <c r="C58" s="1" t="s">
        <v>28</v>
      </c>
      <c r="D58" s="1" t="s">
        <v>29</v>
      </c>
      <c r="F58" s="10" t="s">
        <v>21</v>
      </c>
      <c r="G58" s="1" t="s">
        <v>28</v>
      </c>
      <c r="H58" s="3"/>
      <c r="L58" s="2"/>
      <c r="M58" s="4"/>
      <c r="N58" s="4"/>
    </row>
    <row r="59" spans="1:14" x14ac:dyDescent="0.2">
      <c r="A59" s="2" t="s">
        <v>0</v>
      </c>
      <c r="B59" s="4">
        <v>58.333333333333336</v>
      </c>
      <c r="C59" s="6">
        <v>80</v>
      </c>
      <c r="D59" s="6" t="e" cm="1">
        <f t="array" ref="D59">(B59+E62C59)/2</f>
        <v>#NAME?</v>
      </c>
      <c r="F59" s="2" t="s">
        <v>0</v>
      </c>
      <c r="G59" s="11">
        <v>80</v>
      </c>
      <c r="H59" s="3"/>
      <c r="L59" s="2"/>
      <c r="M59" s="4"/>
      <c r="N59" s="4"/>
    </row>
    <row r="60" spans="1:14" x14ac:dyDescent="0.2">
      <c r="A60" s="2" t="s">
        <v>1</v>
      </c>
      <c r="B60" s="4">
        <v>50</v>
      </c>
      <c r="C60" s="6">
        <v>73.333333333333329</v>
      </c>
      <c r="D60" s="6">
        <f t="shared" ref="D60:D71" si="9">(B60+C60)/2</f>
        <v>61.666666666666664</v>
      </c>
      <c r="F60" s="2" t="s">
        <v>1</v>
      </c>
      <c r="G60" s="6">
        <v>73.333333333333329</v>
      </c>
      <c r="L60" s="2"/>
      <c r="M60" s="4"/>
      <c r="N60" s="4"/>
    </row>
    <row r="61" spans="1:14" x14ac:dyDescent="0.2">
      <c r="A61" s="2" t="s">
        <v>2</v>
      </c>
      <c r="B61" s="4">
        <v>63.157894736842103</v>
      </c>
      <c r="C61" s="6">
        <v>63.333333333333329</v>
      </c>
      <c r="D61" s="6">
        <f t="shared" si="9"/>
        <v>63.245614035087712</v>
      </c>
      <c r="F61" s="2" t="s">
        <v>2</v>
      </c>
      <c r="G61" s="6">
        <v>63.333333333333329</v>
      </c>
      <c r="L61" s="2"/>
      <c r="M61" s="4"/>
      <c r="N61" s="4"/>
    </row>
    <row r="62" spans="1:14" x14ac:dyDescent="0.2">
      <c r="A62" s="2" t="s">
        <v>3</v>
      </c>
      <c r="B62" s="4">
        <v>55.555555555555557</v>
      </c>
      <c r="C62" s="6">
        <v>90</v>
      </c>
      <c r="D62" s="6">
        <f t="shared" si="9"/>
        <v>72.777777777777771</v>
      </c>
      <c r="F62" s="2" t="s">
        <v>3</v>
      </c>
      <c r="G62" s="6">
        <v>90</v>
      </c>
    </row>
    <row r="63" spans="1:14" x14ac:dyDescent="0.2">
      <c r="A63" s="2" t="s">
        <v>4</v>
      </c>
      <c r="B63" s="4">
        <v>46.428571428571431</v>
      </c>
      <c r="C63" s="6">
        <v>93.333333333333329</v>
      </c>
      <c r="D63" s="6">
        <f t="shared" si="9"/>
        <v>69.88095238095238</v>
      </c>
      <c r="F63" s="2" t="s">
        <v>4</v>
      </c>
      <c r="G63" s="6">
        <v>93.333333333333329</v>
      </c>
    </row>
    <row r="64" spans="1:14" x14ac:dyDescent="0.2">
      <c r="A64" s="2" t="s">
        <v>5</v>
      </c>
      <c r="B64" s="4">
        <v>59.090909090909093</v>
      </c>
      <c r="C64" s="6">
        <v>73.333333333333329</v>
      </c>
      <c r="D64" s="6">
        <f t="shared" si="9"/>
        <v>66.212121212121218</v>
      </c>
      <c r="F64" s="2" t="s">
        <v>5</v>
      </c>
      <c r="G64" s="6">
        <v>73.333333333333329</v>
      </c>
    </row>
    <row r="65" spans="1:17" x14ac:dyDescent="0.2">
      <c r="A65" s="2"/>
      <c r="B65" s="4"/>
      <c r="C65" s="6"/>
      <c r="D65" s="6"/>
      <c r="F65" s="2"/>
      <c r="G65" s="6"/>
      <c r="O65" s="2" t="s">
        <v>21</v>
      </c>
      <c r="P65" s="4" t="s">
        <v>30</v>
      </c>
      <c r="Q65" s="4" t="s">
        <v>31</v>
      </c>
    </row>
    <row r="66" spans="1:17" x14ac:dyDescent="0.2">
      <c r="A66" s="2" t="s">
        <v>24</v>
      </c>
      <c r="B66" s="1" t="s">
        <v>27</v>
      </c>
      <c r="C66" s="1" t="s">
        <v>28</v>
      </c>
      <c r="D66" s="1" t="s">
        <v>29</v>
      </c>
      <c r="F66" s="2" t="s">
        <v>24</v>
      </c>
      <c r="G66" s="1" t="s">
        <v>28</v>
      </c>
      <c r="O66" s="2" t="s">
        <v>0</v>
      </c>
      <c r="P66" s="6">
        <f>M37*100</f>
        <v>50</v>
      </c>
      <c r="Q66" s="6">
        <f>N37*100</f>
        <v>57.142857142857139</v>
      </c>
    </row>
    <row r="67" spans="1:17" x14ac:dyDescent="0.2">
      <c r="A67" s="2" t="s">
        <v>11</v>
      </c>
      <c r="B67" s="6">
        <v>61.29032258064516</v>
      </c>
      <c r="C67" s="6">
        <v>86.111111111111114</v>
      </c>
      <c r="D67" s="6">
        <f t="shared" si="9"/>
        <v>73.700716845878134</v>
      </c>
      <c r="E67" s="9">
        <f>D67-D69</f>
        <v>1.1312724014336908</v>
      </c>
      <c r="F67" s="2" t="s">
        <v>11</v>
      </c>
      <c r="G67" s="6">
        <v>86.111111111111114</v>
      </c>
      <c r="O67" s="2" t="s">
        <v>1</v>
      </c>
      <c r="P67" s="6">
        <f t="shared" ref="P67:P71" si="10">M38*100</f>
        <v>47.058823529411761</v>
      </c>
      <c r="Q67" s="6">
        <f t="shared" ref="Q67:Q71" si="11">N38*100</f>
        <v>52.380952380952387</v>
      </c>
    </row>
    <row r="68" spans="1:17" x14ac:dyDescent="0.2">
      <c r="A68" s="2" t="s">
        <v>12</v>
      </c>
      <c r="B68" s="6">
        <v>58.064516129032263</v>
      </c>
      <c r="C68" s="6">
        <v>86.111111111111114</v>
      </c>
      <c r="D68" s="6">
        <f t="shared" si="9"/>
        <v>72.087813620071685</v>
      </c>
      <c r="F68" s="2" t="s">
        <v>12</v>
      </c>
      <c r="G68" s="6">
        <v>86.111111111111114</v>
      </c>
      <c r="O68" s="2" t="s">
        <v>2</v>
      </c>
      <c r="P68" s="6">
        <f t="shared" si="10"/>
        <v>80</v>
      </c>
      <c r="Q68" s="6">
        <f t="shared" si="11"/>
        <v>85.714285714285708</v>
      </c>
    </row>
    <row r="69" spans="1:17" x14ac:dyDescent="0.2">
      <c r="A69" s="2" t="s">
        <v>13</v>
      </c>
      <c r="B69" s="6">
        <v>56.25</v>
      </c>
      <c r="C69" s="6">
        <v>88.888888888888886</v>
      </c>
      <c r="D69" s="6">
        <f t="shared" si="9"/>
        <v>72.569444444444443</v>
      </c>
      <c r="F69" s="2" t="s">
        <v>13</v>
      </c>
      <c r="G69" s="6">
        <v>88.888888888888886</v>
      </c>
      <c r="O69" s="2" t="s">
        <v>3</v>
      </c>
      <c r="P69" s="6">
        <f t="shared" si="10"/>
        <v>66.666666666666657</v>
      </c>
      <c r="Q69" s="6">
        <f t="shared" si="11"/>
        <v>66.666666666666657</v>
      </c>
    </row>
    <row r="70" spans="1:17" x14ac:dyDescent="0.2">
      <c r="A70" s="2" t="s">
        <v>14</v>
      </c>
      <c r="B70" s="6">
        <v>50</v>
      </c>
      <c r="C70" s="6">
        <v>77.777777777777786</v>
      </c>
      <c r="D70" s="6">
        <f t="shared" si="9"/>
        <v>63.888888888888893</v>
      </c>
      <c r="F70" s="2" t="s">
        <v>14</v>
      </c>
      <c r="G70" s="6">
        <v>77.777777777777786</v>
      </c>
      <c r="O70" s="2" t="s">
        <v>4</v>
      </c>
      <c r="P70" s="6">
        <f t="shared" si="10"/>
        <v>0</v>
      </c>
      <c r="Q70" s="6">
        <f t="shared" si="11"/>
        <v>0</v>
      </c>
    </row>
    <row r="71" spans="1:17" x14ac:dyDescent="0.2">
      <c r="A71" s="2" t="s">
        <v>15</v>
      </c>
      <c r="B71" s="6">
        <v>45</v>
      </c>
      <c r="C71" s="6">
        <v>55.555555555555557</v>
      </c>
      <c r="D71" s="6">
        <f t="shared" si="9"/>
        <v>50.277777777777779</v>
      </c>
      <c r="F71" s="2" t="s">
        <v>15</v>
      </c>
      <c r="G71" s="6">
        <v>55.555555555555557</v>
      </c>
      <c r="O71" s="2" t="s">
        <v>5</v>
      </c>
      <c r="P71" s="6">
        <f t="shared" si="10"/>
        <v>60</v>
      </c>
      <c r="Q71" s="6">
        <f t="shared" si="11"/>
        <v>58.333333333333336</v>
      </c>
    </row>
    <row r="75" spans="1:17" x14ac:dyDescent="0.2">
      <c r="C75" s="2" t="s">
        <v>0</v>
      </c>
      <c r="D75">
        <v>69.166666666666671</v>
      </c>
      <c r="O75" s="2" t="s">
        <v>24</v>
      </c>
      <c r="P75" s="2" t="s">
        <v>30</v>
      </c>
      <c r="Q75" s="2" t="s">
        <v>31</v>
      </c>
    </row>
    <row r="76" spans="1:17" x14ac:dyDescent="0.2">
      <c r="C76" s="2" t="s">
        <v>1</v>
      </c>
      <c r="D76">
        <v>61.666666666666664</v>
      </c>
      <c r="O76" s="2" t="s">
        <v>11</v>
      </c>
      <c r="P76" s="13">
        <f>M45*100</f>
        <v>60</v>
      </c>
      <c r="Q76" s="13">
        <f>N45*100</f>
        <v>66.666666666666657</v>
      </c>
    </row>
    <row r="77" spans="1:17" x14ac:dyDescent="0.2">
      <c r="C77" s="2" t="s">
        <v>2</v>
      </c>
      <c r="D77">
        <v>63.245614035087712</v>
      </c>
      <c r="O77" s="2" t="s">
        <v>12</v>
      </c>
      <c r="P77" s="13">
        <f t="shared" ref="P77:P80" si="12">M46*100</f>
        <v>60</v>
      </c>
      <c r="Q77" s="13">
        <f t="shared" ref="Q77:Q80" si="13">N46*100</f>
        <v>60</v>
      </c>
    </row>
    <row r="78" spans="1:17" x14ac:dyDescent="0.2">
      <c r="C78" s="2" t="s">
        <v>3</v>
      </c>
      <c r="D78">
        <v>72.777777777777771</v>
      </c>
      <c r="O78" s="2" t="s">
        <v>13</v>
      </c>
      <c r="P78" s="13">
        <f t="shared" si="12"/>
        <v>62.5</v>
      </c>
      <c r="Q78" s="13">
        <f t="shared" si="13"/>
        <v>60</v>
      </c>
    </row>
    <row r="79" spans="1:17" x14ac:dyDescent="0.2">
      <c r="C79" s="2" t="s">
        <v>4</v>
      </c>
      <c r="D79">
        <v>69.88095238095238</v>
      </c>
      <c r="O79" s="2" t="s">
        <v>14</v>
      </c>
      <c r="P79" s="13">
        <f t="shared" si="12"/>
        <v>50</v>
      </c>
      <c r="Q79" s="13">
        <f t="shared" si="13"/>
        <v>55.555555555555557</v>
      </c>
    </row>
    <row r="80" spans="1:17" x14ac:dyDescent="0.2">
      <c r="C80" s="2" t="s">
        <v>5</v>
      </c>
      <c r="D80">
        <v>66.212121212121218</v>
      </c>
      <c r="O80" s="2" t="s">
        <v>15</v>
      </c>
      <c r="P80" s="13">
        <f t="shared" si="12"/>
        <v>44.444444444444443</v>
      </c>
      <c r="Q80" s="13">
        <f t="shared" si="13"/>
        <v>50</v>
      </c>
    </row>
  </sheetData>
  <mergeCells count="2">
    <mergeCell ref="A17:B17"/>
    <mergeCell ref="A57:B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Robert John Fotheringham (Student)</dc:creator>
  <cp:lastModifiedBy>Angus Robert John Fotheringham (Student)</cp:lastModifiedBy>
  <dcterms:created xsi:type="dcterms:W3CDTF">2024-10-08T22:49:23Z</dcterms:created>
  <dcterms:modified xsi:type="dcterms:W3CDTF">2026-10-28T08:46:07Z</dcterms:modified>
</cp:coreProperties>
</file>